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5BDB0A7-8F87-4601-B539-11F4A255E572}" xr6:coauthVersionLast="47" xr6:coauthVersionMax="47" xr10:uidLastSave="{00000000-0000-0000-0000-000000000000}"/>
  <bookViews>
    <workbookView xWindow="-110" yWindow="-110" windowWidth="19420" windowHeight="10300" firstSheet="1" activeTab="4" xr2:uid="{25978B7F-8577-4A4F-86B6-63E388B4011D}"/>
  </bookViews>
  <sheets>
    <sheet name="GLOBA_STOCK" sheetId="1" r:id="rId1"/>
    <sheet name="C0MMANDE _SITE" sheetId="2" r:id="rId2"/>
    <sheet name="Transfert" sheetId="3" r:id="rId3"/>
    <sheet name="Tableau de bord" sheetId="4" r:id="rId4"/>
    <sheet name="Feuille dista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H4" i="1"/>
  <c r="H5" i="1"/>
  <c r="H6" i="1"/>
  <c r="F4" i="1"/>
  <c r="G5" i="1"/>
  <c r="G6" i="1"/>
  <c r="G4" i="1"/>
  <c r="F5" i="1"/>
  <c r="F6" i="1"/>
</calcChain>
</file>

<file path=xl/sharedStrings.xml><?xml version="1.0" encoding="utf-8"?>
<sst xmlns="http://schemas.openxmlformats.org/spreadsheetml/2006/main" count="45" uniqueCount="30">
  <si>
    <t>Produit</t>
  </si>
  <si>
    <t>Site</t>
  </si>
  <si>
    <t>A</t>
  </si>
  <si>
    <t>B</t>
  </si>
  <si>
    <t>C</t>
  </si>
  <si>
    <t>Stok actuel</t>
  </si>
  <si>
    <t>Stock minimum</t>
  </si>
  <si>
    <t>Stock maximum</t>
  </si>
  <si>
    <t>P1</t>
  </si>
  <si>
    <t>P2</t>
  </si>
  <si>
    <t>P3</t>
  </si>
  <si>
    <t>Demande journaliere</t>
  </si>
  <si>
    <t>Site source</t>
  </si>
  <si>
    <t>Site destination</t>
  </si>
  <si>
    <t>Quantite</t>
  </si>
  <si>
    <t>Statut</t>
  </si>
  <si>
    <t>Source</t>
  </si>
  <si>
    <t>Destination</t>
  </si>
  <si>
    <t>Distance</t>
  </si>
  <si>
    <t>10Km</t>
  </si>
  <si>
    <t>25Km</t>
  </si>
  <si>
    <t>RUPTURE</t>
  </si>
  <si>
    <t>SURPLUS</t>
  </si>
  <si>
    <t>TRANSFERT</t>
  </si>
  <si>
    <t xml:space="preserve"> A TRANSFERER</t>
  </si>
  <si>
    <t>Transfert en cours</t>
  </si>
  <si>
    <t>Alerte</t>
  </si>
  <si>
    <t>Stock total</t>
  </si>
  <si>
    <t>Indicateurs</t>
  </si>
  <si>
    <t>Valeurs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</si>
</sst>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74C6-C821-4235-8375-9E49E4B6175B}">
  <dimension ref="A3:H6"/>
  <sheetViews>
    <sheetView workbookViewId="0">
      <selection activeCell="C4" sqref="C4"/>
    </sheetView>
  </sheetViews>
  <sheetFormatPr baseColWidth="10" defaultRowHeight="14.5" x14ac:dyDescent="0.35"/>
  <sheetData>
    <row r="3" spans="1:8" ht="29" x14ac:dyDescent="0.35">
      <c r="A3" t="s">
        <v>0</v>
      </c>
      <c r="B3" t="s">
        <v>1</v>
      </c>
      <c r="C3" t="s">
        <v>5</v>
      </c>
      <c r="D3" s="1" t="s">
        <v>6</v>
      </c>
      <c r="E3" s="1" t="s">
        <v>7</v>
      </c>
      <c r="F3" t="s">
        <v>21</v>
      </c>
      <c r="G3" t="s">
        <v>22</v>
      </c>
      <c r="H3" t="s">
        <v>23</v>
      </c>
    </row>
    <row r="4" spans="1:8" x14ac:dyDescent="0.35">
      <c r="A4" t="s">
        <v>8</v>
      </c>
      <c r="B4" t="s">
        <v>2</v>
      </c>
      <c r="C4">
        <v>50</v>
      </c>
      <c r="D4">
        <v>30</v>
      </c>
      <c r="E4">
        <v>80</v>
      </c>
      <c r="F4" t="str">
        <f>IF(C2&lt;D2,"RUPTURE","OK")</f>
        <v>OK</v>
      </c>
      <c r="G4" t="str">
        <f>IF(C2&gt;E2,"SURPLUS","NORMAL")</f>
        <v>NORMAL</v>
      </c>
      <c r="H4" t="str">
        <f>IF(OR("Rupture"="RUPTURE","Surplus"="SURPLUS"),"TRANSFERT","")</f>
        <v>TRANSFERT</v>
      </c>
    </row>
    <row r="5" spans="1:8" x14ac:dyDescent="0.35">
      <c r="A5" t="s">
        <v>9</v>
      </c>
      <c r="B5" t="s">
        <v>3</v>
      </c>
      <c r="C5">
        <v>20</v>
      </c>
      <c r="D5">
        <v>30</v>
      </c>
      <c r="E5">
        <v>80</v>
      </c>
      <c r="F5" t="str">
        <f t="shared" ref="F5:F6" si="0">IF(C5&lt;D5,"RUPTURE",IF(C5&gt;E5,"SURPLUS","OK"))</f>
        <v>RUPTURE</v>
      </c>
      <c r="G5" t="str">
        <f t="shared" ref="G5:G6" si="1">IF(C3&gt;E3,"SURPLUS","NORMAL")</f>
        <v>SURPLUS</v>
      </c>
      <c r="H5" t="str">
        <f t="shared" ref="H5:H6" si="2">IF(AND("Rupture"="RUPTURE","Surplus"="SURPLUS"),"TRANSFERT","")</f>
        <v>TRANSFERT</v>
      </c>
    </row>
    <row r="6" spans="1:8" x14ac:dyDescent="0.35">
      <c r="A6" t="s">
        <v>10</v>
      </c>
      <c r="B6" t="s">
        <v>4</v>
      </c>
      <c r="C6">
        <v>90</v>
      </c>
      <c r="D6">
        <v>30</v>
      </c>
      <c r="E6">
        <v>80</v>
      </c>
      <c r="F6" t="str">
        <f t="shared" si="0"/>
        <v>SURPLUS</v>
      </c>
      <c r="G6" t="str">
        <f t="shared" si="1"/>
        <v>NORMAL</v>
      </c>
      <c r="H6" t="str">
        <f t="shared" si="2"/>
        <v>TRANSFERT</v>
      </c>
    </row>
  </sheetData>
  <conditionalFormatting sqref="F5">
    <cfRule type="containsText" dxfId="0" priority="1" operator="containsText" text="RUPTURE">
      <formula>NOT(ISERROR(SEARCH("RUPTURE",F5)))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4F3E-9731-40DB-957D-6544C027B527}">
  <dimension ref="A3:C5"/>
  <sheetViews>
    <sheetView workbookViewId="0">
      <selection activeCell="E20" sqref="E20"/>
    </sheetView>
  </sheetViews>
  <sheetFormatPr baseColWidth="10" defaultRowHeight="14.5" x14ac:dyDescent="0.35"/>
  <sheetData>
    <row r="3" spans="1:3" ht="29" x14ac:dyDescent="0.35">
      <c r="A3" t="s">
        <v>1</v>
      </c>
      <c r="B3" t="s">
        <v>0</v>
      </c>
      <c r="C3" s="1" t="s">
        <v>11</v>
      </c>
    </row>
    <row r="4" spans="1:3" x14ac:dyDescent="0.35">
      <c r="A4" t="s">
        <v>2</v>
      </c>
      <c r="B4" t="s">
        <v>8</v>
      </c>
      <c r="C4">
        <v>10</v>
      </c>
    </row>
    <row r="5" spans="1:3" x14ac:dyDescent="0.35">
      <c r="A5" t="s">
        <v>3</v>
      </c>
      <c r="B5" t="s">
        <v>9</v>
      </c>
      <c r="C5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3EEA-451F-4B65-8931-B6589EDCA2E8}">
  <dimension ref="A3:E4"/>
  <sheetViews>
    <sheetView workbookViewId="0">
      <selection activeCell="G4" sqref="G4"/>
    </sheetView>
  </sheetViews>
  <sheetFormatPr baseColWidth="10" defaultRowHeight="14.5" x14ac:dyDescent="0.35"/>
  <sheetData>
    <row r="3" spans="1:5" ht="29" x14ac:dyDescent="0.35">
      <c r="A3" t="s">
        <v>0</v>
      </c>
      <c r="B3" t="s">
        <v>12</v>
      </c>
      <c r="C3" s="1" t="s">
        <v>13</v>
      </c>
      <c r="D3" t="s">
        <v>14</v>
      </c>
      <c r="E3" t="s">
        <v>15</v>
      </c>
    </row>
    <row r="4" spans="1:5" ht="43.5" x14ac:dyDescent="0.35">
      <c r="A4" t="s">
        <v>8</v>
      </c>
      <c r="B4" t="s">
        <v>4</v>
      </c>
      <c r="C4" t="s">
        <v>3</v>
      </c>
      <c r="D4">
        <v>10</v>
      </c>
      <c r="E4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D66D-670E-436A-A384-14B7FB42FB31}">
  <dimension ref="A3:C7"/>
  <sheetViews>
    <sheetView workbookViewId="0">
      <selection activeCell="B6" sqref="B6"/>
    </sheetView>
  </sheetViews>
  <sheetFormatPr baseColWidth="10" defaultRowHeight="14.5" x14ac:dyDescent="0.35"/>
  <sheetData>
    <row r="3" spans="1:3" x14ac:dyDescent="0.35">
      <c r="A3" t="s">
        <v>28</v>
      </c>
      <c r="B3" s="1" t="s">
        <v>29</v>
      </c>
      <c r="C3" s="1"/>
    </row>
    <row r="4" spans="1:3" x14ac:dyDescent="0.35">
      <c r="A4" t="s">
        <v>27</v>
      </c>
      <c r="B4">
        <f>SUM(GLOBA_STOCK!C4:C6)</f>
        <v>160</v>
      </c>
    </row>
    <row r="5" spans="1:3" x14ac:dyDescent="0.35">
      <c r="A5" t="s">
        <v>21</v>
      </c>
      <c r="B5">
        <f>COUNTIF(GLOBA_STOCK!F4:F6,"RUPTURE")</f>
        <v>1</v>
      </c>
    </row>
    <row r="6" spans="1:3" ht="29" x14ac:dyDescent="0.35">
      <c r="A6" s="1" t="s">
        <v>25</v>
      </c>
    </row>
    <row r="7" spans="1:3" x14ac:dyDescent="0.35">
      <c r="A7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69B7-0151-452D-83D1-05401B1F0E09}">
  <dimension ref="A3:C5"/>
  <sheetViews>
    <sheetView tabSelected="1" workbookViewId="0">
      <selection activeCell="D3" sqref="D3"/>
    </sheetView>
  </sheetViews>
  <sheetFormatPr baseColWidth="10" defaultRowHeight="14.5" x14ac:dyDescent="0.35"/>
  <sheetData>
    <row r="3" spans="1:3" x14ac:dyDescent="0.35">
      <c r="A3" t="s">
        <v>16</v>
      </c>
      <c r="B3" t="s">
        <v>17</v>
      </c>
      <c r="C3" t="s">
        <v>18</v>
      </c>
    </row>
    <row r="4" spans="1:3" x14ac:dyDescent="0.35">
      <c r="A4" t="s">
        <v>2</v>
      </c>
      <c r="B4" t="s">
        <v>3</v>
      </c>
      <c r="C4" t="s">
        <v>19</v>
      </c>
    </row>
    <row r="5" spans="1:3" x14ac:dyDescent="0.35">
      <c r="A5" t="s">
        <v>2</v>
      </c>
      <c r="B5" t="s">
        <v>4</v>
      </c>
      <c r="C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GLOBA_STOCK</vt:lpstr>
      <vt:lpstr>C0MMANDE _SITE</vt:lpstr>
      <vt:lpstr>Transfert</vt:lpstr>
      <vt:lpstr>Tableau de bord</vt:lpstr>
      <vt:lpstr>Feuille 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2026-04-03T19:08:38Z</dcterms:created>
  <dcterms:modified xsi:type="dcterms:W3CDTF">2026-04-04T14:38:48Z</dcterms:modified>
</cp:coreProperties>
</file>